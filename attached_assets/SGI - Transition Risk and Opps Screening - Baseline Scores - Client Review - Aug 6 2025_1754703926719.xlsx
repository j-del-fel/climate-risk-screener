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nthesisllc-my.sharepoint.com/personal/john_feldmann_anthesisgroup_com/Documents/Desktop/Client Folders/Standard Industries/"/>
    </mc:Choice>
  </mc:AlternateContent>
  <xr:revisionPtr revIDLastSave="54" documentId="8_{652BC887-DFBF-43A3-975E-DB471949F6A0}" xr6:coauthVersionLast="47" xr6:coauthVersionMax="47" xr10:uidLastSave="{6B576285-6E57-497F-9D88-52E2E1D2B8BA}"/>
  <bookViews>
    <workbookView xWindow="-108" yWindow="-108" windowWidth="23256" windowHeight="12576" xr2:uid="{559FF943-7C60-433B-946B-E34549A36B42}"/>
  </bookViews>
  <sheets>
    <sheet name="Baseline Scores and Narrativ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H37" i="1"/>
  <c r="H36" i="1"/>
  <c r="H35" i="1"/>
  <c r="H34" i="1"/>
  <c r="H33" i="1"/>
  <c r="H32" i="1"/>
  <c r="H31" i="1"/>
  <c r="H30" i="1"/>
  <c r="H29" i="1"/>
  <c r="H28" i="1"/>
  <c r="H27" i="1"/>
  <c r="H26" i="1"/>
  <c r="H25" i="1"/>
  <c r="H24" i="1"/>
  <c r="H23" i="1"/>
  <c r="H22" i="1"/>
  <c r="H21" i="1"/>
  <c r="H20" i="1"/>
  <c r="H19" i="1"/>
  <c r="H18" i="1"/>
  <c r="H16" i="1"/>
  <c r="H15" i="1"/>
  <c r="H14" i="1"/>
  <c r="H13" i="1"/>
  <c r="H12" i="1"/>
  <c r="H11" i="1"/>
  <c r="H10" i="1"/>
  <c r="H9" i="1"/>
  <c r="H8" i="1"/>
  <c r="H7" i="1"/>
  <c r="H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tc={052D8CC2-E8A6-4167-AC95-A08916081411}</author>
  </authors>
  <commentList>
    <comment ref="D17" authorId="0" shapeId="0" xr:uid="{052D8CC2-E8A6-4167-AC95-A08916081411}">
      <text>
        <t>[Threaded comment]
Your version of Excel allows you to read this threaded comment; however, any edits to it will get removed if the file is opened in a newer version of Excel. Learn more: https://go.microsoft.com/fwlink/?linkid=870924
Comment:
    Overall comment on this column - is this determined by us knowing that they are looking at the technology or by how relevant we perceive the technology to be to the business model?</t>
      </text>
    </comment>
  </commentList>
</comments>
</file>

<file path=xl/sharedStrings.xml><?xml version="1.0" encoding="utf-8"?>
<sst xmlns="http://schemas.openxmlformats.org/spreadsheetml/2006/main" count="144" uniqueCount="141">
  <si>
    <t>Step 1: Discovery</t>
  </si>
  <si>
    <t>Step 2: Verification</t>
  </si>
  <si>
    <t>Category</t>
  </si>
  <si>
    <t>Topic</t>
  </si>
  <si>
    <t>Exposure</t>
  </si>
  <si>
    <t>Vulnerability</t>
  </si>
  <si>
    <t>Strategic Misalignment</t>
  </si>
  <si>
    <t>Mitigation Readiness</t>
  </si>
  <si>
    <t>Average</t>
  </si>
  <si>
    <t>Subcategory Scoring Narrative</t>
  </si>
  <si>
    <t>Sources / References</t>
  </si>
  <si>
    <t>Client Narratives / Notes</t>
  </si>
  <si>
    <t>Captures the company’s level of involvement in carbon-intensive activities or markets facing disruption from the low-carbon transition.</t>
  </si>
  <si>
    <t>Reflects the degree to which a company could suffer operational, financial, or reputational harm from transition risks, given its structure, assets, and dependencies.</t>
  </si>
  <si>
    <t>Measures how incompatible a company’s current business model or growth strategy is with emerging low-carbon policies, technologies, or market trends.</t>
  </si>
  <si>
    <t>Measures the company’s current ability to adapt or pivot through mitigation strategies such as emissions reductions, energy efficiency, or policy compliance.</t>
  </si>
  <si>
    <t xml:space="preserve">n/a </t>
  </si>
  <si>
    <t>Provide justification to scoring of strategic misalignment, exposure, mitigation readiness, and vulnerability.</t>
  </si>
  <si>
    <t>Rate 1 (very low ) - 5 (very high)</t>
  </si>
  <si>
    <t>Policy &amp; Legal</t>
  </si>
  <si>
    <t>Carbon pricing and reporting obligations</t>
  </si>
  <si>
    <t>SGI operates in energy- and emissions-intensive sectors (e.g., quarrying, mineral processing), making it exposed to carbon regulation. A federal carbon price or mandatory Scope 3 disclosures would elevate compliance and operational costs. Vulnerability is medium-high as climate-related disclosures (e.g., EPA's eGRID) could become standard. While SGI has mitigation efforts underway (e.g., product innovation), it lacks formal net-zero targets, indicating moderate strategic misalignment and limited readiness.</t>
  </si>
  <si>
    <t>PA DEP Air Permit Renewal 01‑05016 (2024) – Specialty Granules; EPA eGRID emissions database (2025)</t>
  </si>
  <si>
    <t>SGI's primary product are the granules that are used in the manufacturing of asphalt shingles, we do not manfufacture the shingles themselves. SGI's reflective granule product line do not reduce the emissions from our manufacturing process but are intended to reduce emissions during the use phase of asphalt shingles, this is realized several steps downstream of SGI. SGI has work in the carbon dioxide removal space by supplying materials for use in enhanced rock weathering (ERW) applications. The CDR occurs at the farm and any offset credits generated are not owned by SGI. The ERW material is a waste product from our primary process. Another consideration related to regulation is the choice of roofing material in general which might affect the demand for our granules. This concern comes from areas where high risk of windstorms, hail or wildfire may drive regulators to require builders to use non-asphalt shingle products in roofing applications. Florida and California are markets where these ideas have been raised.</t>
  </si>
  <si>
    <t>Mandates on and regulation of existing products and services</t>
  </si>
  <si>
    <t>2024 International Energy Conservation Code – C405 Cool Roofs; Cool Roof Rating Council Codes &amp; Standards database</t>
  </si>
  <si>
    <t>Exposure to litigation</t>
  </si>
  <si>
    <t>To date, SGI has limited exposure to climate litigation. Being a privately held entity further insulates it from investor-driven legal claims seen in public companies. However, ongoing scrutiny under environmental statutes like the Clean Water Act implies some risk from local environmental activism or enforcement, albeit currently low.</t>
  </si>
  <si>
    <t>Spectrum News article on SGI Clean Water Act accusation (2022); Sabin Center Climate Case Chart update (Dec 2024)</t>
  </si>
  <si>
    <t>Technology</t>
  </si>
  <si>
    <t>Substitution of existing products and services</t>
  </si>
  <si>
    <t>Industry-wide momentum favors energy-efficient, reflective, or multifunctional roofing products (e.g., cool roofs, polymer-coated granules). SGI’s core product lines could face demand erosion if substitution trends accelerate. The Gen-3 product line helps partially mitigate this, but the company remains vulnerable if innovation lags or adoption rates rise.</t>
  </si>
  <si>
    <t>SGI Product Information – Solar Reflective Granules; Cool Roof Rating Council Codes database</t>
  </si>
  <si>
    <t>Unsuccessful investment in new technologies</t>
  </si>
  <si>
    <t>Capital‑intensive R&amp;D in reflective/functional granules and carbon‑capture basalt fines could underperform. Moderate upside/downside balance; pilot projects help de‑risk. SGI’s partnerships for carbon-capture granules and new reflective technologies involve high R&amp;D costs and technical risk. While pilot projects help de-risk these investments, commercial viability is uncertain. The score reflects moderate vulnerability and potential for sunk investment if scale or adoption is not achieved.</t>
  </si>
  <si>
    <t>SGI &amp; V6 Agronomy metabasalt partnership press release (2024)</t>
  </si>
  <si>
    <t>SGI is currently on on generation 4 of our solar reflective product line, this is now commercial. We have also considered the possibility that recycled materials may compete with newly manufactured granules, this is ultimately driven by the pressures to increase the recycling rates of asphalt shingles.</t>
  </si>
  <si>
    <t>JF: thanks - would be great to understand if the R&amp;D investments are still being made for advancing the solar reflective product line, as it evolves through generations. If this product is stable and not requiring continued R&amp;D, then will remove this.</t>
  </si>
  <si>
    <t>Market</t>
  </si>
  <si>
    <t>Changing customer behavior</t>
  </si>
  <si>
    <t>Architects, builders, and homeowners increasingly demand low-carbon and high-performance roofing materials. This demand is reinforced by requirements for Environmental Product Declarations (EPDs) and voluntary credit schemes (e.g., LEED). SGI has reflective product options but must maintain innovation to align with shifting preferences and transparency expectations.</t>
  </si>
  <si>
    <t>Cool Roof Rating Council Codes/Programs database; IECC 2024 cool‑roof provisions</t>
  </si>
  <si>
    <t>Does "carbon-capture granules" refer to the same material as "carbon-capture basalt fines" at the beginning of the entry? If so, "carbon-capture fines" is the most accurate phrasing, we have explored but are not actively pursuing carbon capture with our roofing granules themselves. The generation 4 solar reflective product line is already commercial at scale, it is no longer an R&amp;D effort. Should we also include the idea of investing in new manufacturing technologies that may be needed to reduce emissions/impact that have not yet been proven in our operation? We don't have any specific projects in our current pipeline but I have an example in mind. If carbon pricing were implemented it may drive us to explore electrification of fossil-driven unit operations in our process. There would be risk in the evaluation and implementation of these technologies. It may not be an independent risk.</t>
  </si>
  <si>
    <t>JF: Thank you for this clarification on carbon capture fines - will edit as needed. Yes, please do mention any examples of technologies that may be needed to reduce emissions / impact that haven't yet been proven. This would be helpful for narrative purposes, especially related to medium or longer-term risk. Electrification of processes is a great example of potential investement risks.</t>
  </si>
  <si>
    <t>Increased cost of raw materials</t>
  </si>
  <si>
    <t>Quarrying operations are highly exposed to fossil-fuel volatility and commodity-linked inputs (e.g., diesel, explosives). With energy markets remaining structurally volatile and decarbonization advancing, SGI’s exposure is high. The company’s mitigation ability is limited, though partial hedging may exist via procurement strategies or alternative energy use.</t>
  </si>
  <si>
    <t>EIA Gasoline &amp; Diesel Fuel Update (Apr 2025); EIA STEO price outlook (Jan 2024)</t>
  </si>
  <si>
    <t>Uncertainty in market signals</t>
  </si>
  <si>
    <t>Market demand for roofing materials fluctuates with housing starts, which are cyclical, and with reroofing demand (80%). Additionally, policy incentives for cool or energy-efficient roofs vary widely by jurisdiction, complicating investment and pricing strategies. While the company has experience navigating such variability, the outlook remains uncertain due to regulatory fragmentation.</t>
  </si>
  <si>
    <t>McKinsey Supply‑Chain Risk Survey (2024)</t>
  </si>
  <si>
    <t>This is also an active area of R&amp;D, seeking alternative raw materials (supporting procurement initiatives) and seeking potential alternative technical approaches that may reduce/eliminate or substitute raw materials.</t>
  </si>
  <si>
    <t>Reputation</t>
  </si>
  <si>
    <t>Shift in consumer preferences</t>
  </si>
  <si>
    <t>SGI faces reputational risk as eco-conscious buyers move toward sustainable materials. Reflective and recycled content are increasingly favored in public and private projects. SGI’s newer offerings position it better, but continued pressure to phase out traditional granules may increase reputational exposure unless product portfolios evolve further.</t>
  </si>
  <si>
    <t>SGI Product Information catalogue (2025); Cool Roof Rating Council resources</t>
  </si>
  <si>
    <t>A significant contributor to the demand for asphalt shingles is reroofing existing properties, this is independent of housing starts and can be influenced by weather related damages (e.g. windstorms, hail). As a metric, re-roofing drives ~80% of demand: https://www.roofingcontractor.com/articles/100404-new-report-says-roofing-poised-for-growth-if-contractors-adapt-to-shifting-trends</t>
  </si>
  <si>
    <t>JF: Very helpful - thank you for this comment on re-roofing driving 80% of demand. Edited narrative to reflect this.</t>
  </si>
  <si>
    <t>Stigmatization of sector</t>
  </si>
  <si>
    <t>Quarrying is increasingly stigmatized for its environmental impact (GHGs, water use, dust). While SGI implements controls and reclamation plans, public scrutiny remains. Reputational vulnerabilities persist especially if media or environmental groups target open-pit operations.</t>
  </si>
  <si>
    <t>PA DEP Community Info – SGI Quarry (2024); Public Comment Doc on quarry expansion (Attachment J, 2023)</t>
  </si>
  <si>
    <t>Increased shareholder concern/negative feedback</t>
  </si>
  <si>
    <t>SGI’s status as a privately held company limits its exposure to public shareholder activism. However, ESG concerns from insurers, lenders, or credit rating agencies may still influence its reputation and access to capital over time.</t>
  </si>
  <si>
    <t>SGI does not seek capital from the markets, this activity is managed by our parent company. We are insured by an external party.</t>
  </si>
  <si>
    <t>JF: Thank you - would be great to understand how SGI is exposed in this category, if at all, possibly indirectly through the parent company.</t>
  </si>
  <si>
    <r>
      <t xml:space="preserve">Strategic Alignment
</t>
    </r>
    <r>
      <rPr>
        <sz val="11"/>
        <color theme="1"/>
        <rFont val="Aptos Narrow"/>
        <family val="2"/>
        <scheme val="minor"/>
      </rPr>
      <t>How well the opportunity supports the client’s core business strategy, sustainability goals, and long-term vision.</t>
    </r>
  </si>
  <si>
    <r>
      <t xml:space="preserve">Market Readiness
</t>
    </r>
    <r>
      <rPr>
        <sz val="11"/>
        <color theme="1"/>
        <rFont val="Aptos Narrow"/>
        <family val="2"/>
        <scheme val="minor"/>
      </rPr>
      <t>The extent to which the market, technology, or policy landscape is mature enough to support the opportunity today</t>
    </r>
  </si>
  <si>
    <r>
      <t xml:space="preserve">Value Creation
</t>
    </r>
    <r>
      <rPr>
        <sz val="11"/>
        <color theme="1"/>
        <rFont val="Aptos Narrow"/>
        <family val="2"/>
        <scheme val="minor"/>
      </rPr>
      <t>The potential for the opportunity to generate financial, environmental, or reputational benefits for the client.</t>
    </r>
  </si>
  <si>
    <r>
      <t xml:space="preserve">Feasibility
</t>
    </r>
    <r>
      <rPr>
        <sz val="11"/>
        <color theme="1"/>
        <rFont val="Aptos Narrow"/>
        <family val="2"/>
        <scheme val="minor"/>
      </rPr>
      <t>The practicality of implementation, considering cost, technical complexity, internal capabilities, and timeline.</t>
    </r>
  </si>
  <si>
    <t>Scoring Narrative</t>
  </si>
  <si>
    <t>Resource Efficiency</t>
  </si>
  <si>
    <t>Electrification of quarry haul trucks &amp; equipment</t>
  </si>
  <si>
    <t>Replacing diesel haul trucks and loaders with battery‑electric or hybrid units cuts fuel costs and Scope 1 emissions in line with industrial‑decarbonisation trends.</t>
  </si>
  <si>
    <t>Caterpillar 793 XE battery‑electric truck testing press release (2024)</t>
  </si>
  <si>
    <t>Waste‑heat recovery &amp; process energy efficiency</t>
  </si>
  <si>
    <t>Capturing dryer or kiln heat for pre‑heating feedstock improves energy intensity and lowers OPEX at granule‑coating lines.</t>
  </si>
  <si>
    <t>Energy audit &amp; waste‑heat recovery in rotary kilns study (2020)</t>
  </si>
  <si>
    <t>Water recycling &amp; dust‑suppression systems</t>
  </si>
  <si>
    <t>Closed‑loop process water and smart misting reduce withdrawal and community impacts, aligning with SGI’s environmental permits.</t>
  </si>
  <si>
    <t>PA DEP Air Permit &amp; water‑quality conditions for SGI Quarry (2024)</t>
  </si>
  <si>
    <t>Precision blasting &amp; resource optimisation</t>
  </si>
  <si>
    <t>Digital blast design minimises over‑break, saving downstream crushing energy and reducing fines.</t>
  </si>
  <si>
    <t>ISEE Performance Specs &amp; Field Practice Guidelines (2022)</t>
  </si>
  <si>
    <t>Hybrid‑electric overland conveyors replacing diesel haul dozers</t>
  </si>
  <si>
    <t>Electrified belt conveyors move overburden/finished granules and eliminate diesel dozer haulage, cutting fuel and maintenance costs.</t>
  </si>
  <si>
    <t>Epiroc Mining &amp; Construction ‘Electrification Issue’ (2023)</t>
  </si>
  <si>
    <t>Energy Source</t>
  </si>
  <si>
    <t>On‑site solar PV at quarry &amp; plant facilities</t>
  </si>
  <si>
    <t>Rooftop/carport PV offsets electricity costs and demonstrates renewables leadership at sites such as Ione, CA (5 MW array).</t>
  </si>
  <si>
    <t>SGI Ione Quarry solar capacity webpage (accessed 2025)</t>
  </si>
  <si>
    <t>Utility renewable PPAs / RECs</t>
  </si>
  <si>
    <t>Long‑term green‑power contracts provide immediate Scope 2 reduction across multi‑state footprint.</t>
  </si>
  <si>
    <t>BloombergNEF Corporate PPA Deal Tracker cited in NREL Solar Update (2024)</t>
  </si>
  <si>
    <t>Battery‑electric microgrids for remote crushers &amp; conveyors</t>
  </si>
  <si>
    <t>PV‑plus‑storage microgrids improve resilience at remote pits and replace diesel gensets for mobile crushing trains.</t>
  </si>
  <si>
    <t>Caterpillar Hybrid Microgrid Solutions overview</t>
  </si>
  <si>
    <t>Bio‑fuel or electric dryers for granule coating</t>
  </si>
  <si>
    <t>Switching natural‑gas dryers to bio‑LPG or electric heat‑pump systems lowers Scope 1 emissions.</t>
  </si>
  <si>
    <t>DOE/ORNL Industrial Heat Pump brief (2023)</t>
  </si>
  <si>
    <t>Products and Services</t>
  </si>
  <si>
    <t>Solar‑reflective roofing granules (high TSR)</t>
  </si>
  <si>
    <t>Gen‑3 granules deliver high solar reflectivity with deep colour, supporting cool‑roof codes and energy credits.</t>
  </si>
  <si>
    <t>SGI Product Information – Solar Reflective Granules</t>
  </si>
  <si>
    <t>Metabasalt fines for carbon‑sequestering soil amendment</t>
  </si>
  <si>
    <t>Pilot studies with V6 Agronomy show crushed metabasalt can capture CO₂ in soils, creating a new revenue stream.</t>
  </si>
  <si>
    <t>SGI and V6 Agronomy partnership release (2024)</t>
  </si>
  <si>
    <t>Algae‑resistant &amp; light‑colored granules</t>
  </si>
  <si>
    <t>Functional coatings reduce heat build‑up and extend shingle life, meeting homeowner and specifier preferences.</t>
  </si>
  <si>
    <t>SGI Product Information – Algae Resistant Granules</t>
  </si>
  <si>
    <t>Recycled glass/slag‑based granules</t>
  </si>
  <si>
    <t>Incorporating post‑consumer glass or copper‑slag feedstock lowers embodied carbon and diverts waste streams.</t>
  </si>
  <si>
    <t>Glass2Sand Circularity Report (2023)</t>
  </si>
  <si>
    <t>Natural‑pozzolan SCM from quarry fines</t>
  </si>
  <si>
    <t>SGI is marketing fines as supplementary cementitious material, reducing clinker demand and capturing new low‑carbon concrete market.</t>
  </si>
  <si>
    <t>SGI SCM product note (2024)</t>
  </si>
  <si>
    <t>Markets</t>
  </si>
  <si>
    <t>Compliance with cool‑roof ordinances (urban heat zones)</t>
  </si>
  <si>
    <t>Cities like LA, NYC, and Chicago mandate or incentivise high‑TSR roofs, boosting demand for reflective granules.</t>
  </si>
  <si>
    <t>Cool Roof Rating Council Codes &amp; Standards database</t>
  </si>
  <si>
    <t>Low‑carbon material certifications (LEED, WELL, EPDs)</t>
  </si>
  <si>
    <t>Third‑party transparency docs unlock spec‑in with green‑building programs; SGI publishes multiple EPDs.</t>
  </si>
  <si>
    <t>SGI EPD Library (2023)</t>
  </si>
  <si>
    <t>Ag‑carbon credit markets for enhanced rock weathering</t>
  </si>
  <si>
    <t>Metabasalt fines could generate CO₂‑removal credits, tapping a growing voluntary carbon‑removal market.</t>
  </si>
  <si>
    <t>CarbonPlan Enhanced Weathering research (2023)</t>
  </si>
  <si>
    <t>Resilience</t>
  </si>
  <si>
    <t>Flood &amp; storm‑water management at quarries</t>
  </si>
  <si>
    <t>Enhanced berms and retention ponds reduce flood risk and regulatory fines during extreme‑weather events.</t>
  </si>
  <si>
    <t>PA DEP Community Info – SGI Quarry (2024)</t>
  </si>
  <si>
    <t>Dust‑emission controls &amp; air‑quality compliance</t>
  </si>
  <si>
    <t>Continuous PM monitoring and covered conveyors limit community impacts and permit violations.</t>
  </si>
  <si>
    <t>PA DEP Air Permit Renewal &amp; public comments (2024)</t>
  </si>
  <si>
    <t>Localised supply &amp; inventory buffering</t>
  </si>
  <si>
    <t>Multi‑site production reduces logistics disruptions and transport emissions, supporting customer continuity.</t>
  </si>
  <si>
    <t>CSCMP Supply Chain Quarterly – Regionalised supply chains (2022)</t>
  </si>
  <si>
    <t>Climate‑scenario planning &amp; adaptive design</t>
  </si>
  <si>
    <t>Embedding TCFD‑style stress‑tests can future‑proof capital planning for quarries and processing plants.</t>
  </si>
  <si>
    <t>Step 2: Edits made and responses to client comments</t>
  </si>
  <si>
    <t>TCFD Knowledge Hub – Mining sector guidance</t>
  </si>
  <si>
    <t>Transition policies such as building code revisions and green procurement requirements will increasingly favor low-embodied-carbon materials. This puts pressure on SGI's conventional product lines and products produced for conventional products (e.g., for asphalt shingles) unless they adapt to lower-carbon specifications. Regulatory shifts are foreseeable by 2030, presenting material exposure and strategic risk. SGI’s current offerings are moderately misaligned, though some readiness exists via reflective or cool-roof product lines.</t>
  </si>
  <si>
    <t>JF: thank you - the product part of this narrative should have read - "e.g., for asphalt shingles", but also realize that there are two separate considersations - the carbon intensity nature of the granules; and the carbon intensity of the shingles. Both could receive pressure - if on the latter, then demand could be affected indirectly for SGI products that are geared towards asphalt shingles, for example. Would like to discuss
JF: Regulatory Notes: Title 24 Part 6 in California - will be updated on Jan 2026 - cool roofs standard. Updates for 2026 (2025 code): Updated Cool-Roof Requirements (Solar Reflective Standards) - Low-sloped roofs now must meet ≥ 0.55 aged solar reflectance (≥ 0.63 in Climate Zone 1A). Steep-sloped roof improvements for nonresidential buildings: minimum aged SR increased from 0.20 to 0.25; thermal emittance from 0.75 to 0.80; Solar Reflectance Index (SRI) raised from 16 to 23 in Climate Zones 2 and 4–16.
Florida
Incorporates reflective roof standards in its statewide energy code (Sections C402.3 and R401.2.1), particularly targeting low-slope commercial buildings to address its high cooling demand climate.
Georgia
The Department of Community Affairs recently added cool roof criteria to its building codes (Sections C402.3 &amp; R401.2), especially for commercial and residential roofs in hot climate zones.
Texas
Adopted building codes including cool roof provisions via C402.3 and R407.2, addressing energy efficiency in its warm climate—applicable to both new and reroof construction.</t>
  </si>
  <si>
    <t>Step 2: Further client comments and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</si>
</sst>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
      <i/>
      <sz val="11"/>
      <name val="Aptos Narrow"/>
      <family val="2"/>
      <scheme val="minor"/>
    </font>
    <font>
      <sz val="10"/>
      <name val="Arial"/>
      <family val="2"/>
    </font>
    <font>
      <sz val="10"/>
      <color rgb="FF0F1E14"/>
      <name val="Aptos"/>
      <family val="2"/>
    </font>
    <font>
      <sz val="9"/>
      <color indexed="81"/>
      <name val="Tahoma"/>
      <family val="2"/>
    </font>
  </fonts>
  <fills count="12">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3"/>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1" tint="0.74999237037263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tint="-0.249977111117893"/>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diagonal/>
    </border>
  </borders>
  <cellStyleXfs count="2">
    <xf numFmtId="0" fontId="0" fillId="0" borderId="0"/>
    <xf numFmtId="0" fontId="6" fillId="0" borderId="0"/>
  </cellStyleXfs>
  <cellXfs count="51">
    <xf numFmtId="0" fontId="0" fillId="0" borderId="0" xfId="0"/>
    <xf numFmtId="0" fontId="0" fillId="2" borderId="0" xfId="0" applyFill="1"/>
    <xf numFmtId="0" fontId="0" fillId="2" borderId="0" xfId="0" applyFill="1" applyAlignment="1">
      <alignment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5"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4" xfId="0" applyFont="1" applyFill="1" applyBorder="1" applyAlignment="1">
      <alignment horizontal="center" vertical="center"/>
    </xf>
    <xf numFmtId="0" fontId="3" fillId="7" borderId="4" xfId="0" applyFont="1" applyFill="1" applyBorder="1" applyAlignment="1">
      <alignment horizontal="center" vertical="center" wrapText="1"/>
    </xf>
    <xf numFmtId="0" fontId="3" fillId="6" borderId="6" xfId="0" applyFont="1" applyFill="1" applyBorder="1" applyAlignment="1">
      <alignment horizontal="center" vertical="center"/>
    </xf>
    <xf numFmtId="0" fontId="3" fillId="6" borderId="6" xfId="0" applyFont="1" applyFill="1" applyBorder="1" applyAlignment="1">
      <alignment horizontal="center" vertical="center" wrapText="1"/>
    </xf>
    <xf numFmtId="0" fontId="0" fillId="9" borderId="7" xfId="0" applyFill="1" applyBorder="1" applyAlignment="1">
      <alignment horizontal="center" vertical="center" wrapText="1"/>
    </xf>
    <xf numFmtId="0" fontId="0" fillId="9" borderId="8" xfId="0" applyFill="1" applyBorder="1" applyAlignment="1">
      <alignment horizontal="center" vertical="center" wrapText="1"/>
    </xf>
    <xf numFmtId="0" fontId="0" fillId="9" borderId="9" xfId="0" applyFill="1" applyBorder="1" applyAlignment="1">
      <alignment horizontal="center" vertical="center" wrapText="1"/>
    </xf>
    <xf numFmtId="0" fontId="4" fillId="9" borderId="5"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3" fillId="6" borderId="12" xfId="0" applyFont="1" applyFill="1" applyBorder="1" applyAlignment="1">
      <alignment horizontal="center" vertical="center"/>
    </xf>
    <xf numFmtId="0" fontId="3" fillId="6" borderId="12" xfId="0" applyFont="1" applyFill="1" applyBorder="1" applyAlignment="1">
      <alignment horizontal="center" vertical="center" wrapText="1"/>
    </xf>
    <xf numFmtId="0" fontId="4" fillId="9" borderId="10" xfId="0" applyFont="1" applyFill="1" applyBorder="1" applyAlignment="1">
      <alignment horizontal="center" vertical="center"/>
    </xf>
    <xf numFmtId="0" fontId="4" fillId="9" borderId="13" xfId="0" applyFont="1" applyFill="1" applyBorder="1" applyAlignment="1">
      <alignment horizontal="center" vertical="center"/>
    </xf>
    <xf numFmtId="0" fontId="4" fillId="9" borderId="11" xfId="0" applyFont="1" applyFill="1" applyBorder="1" applyAlignment="1">
      <alignment horizontal="center" vertical="center"/>
    </xf>
    <xf numFmtId="0" fontId="4" fillId="9" borderId="6"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0" borderId="14" xfId="0" applyFont="1" applyFill="1" applyBorder="1" applyAlignment="1">
      <alignment horizontal="center" vertical="center" wrapText="1"/>
    </xf>
    <xf numFmtId="0" fontId="3" fillId="6" borderId="4" xfId="0" applyFont="1" applyFill="1" applyBorder="1" applyAlignment="1">
      <alignment horizontal="center" vertical="center" textRotation="90" wrapText="1"/>
    </xf>
    <xf numFmtId="0" fontId="0" fillId="6" borderId="4" xfId="0" applyFill="1" applyBorder="1" applyAlignment="1">
      <alignment horizontal="center" vertical="center" wrapText="1"/>
    </xf>
    <xf numFmtId="0" fontId="0" fillId="0" borderId="4" xfId="0" applyBorder="1" applyAlignment="1">
      <alignment horizontal="center" vertical="center"/>
    </xf>
    <xf numFmtId="164" fontId="0" fillId="11" borderId="4" xfId="0" applyNumberFormat="1" applyFill="1" applyBorder="1" applyAlignment="1">
      <alignment horizontal="center" vertical="center"/>
    </xf>
    <xf numFmtId="0" fontId="0" fillId="2"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4" xfId="0" applyFill="1" applyBorder="1" applyAlignment="1">
      <alignment horizontal="center" vertical="center" wrapText="1"/>
    </xf>
    <xf numFmtId="0" fontId="0" fillId="0" borderId="4" xfId="0" applyBorder="1" applyAlignment="1">
      <alignment horizontal="center" vertical="center" wrapText="1"/>
    </xf>
    <xf numFmtId="0" fontId="0" fillId="7" borderId="6" xfId="0" applyFill="1" applyBorder="1" applyAlignment="1">
      <alignment horizontal="center" vertical="center" wrapText="1"/>
    </xf>
    <xf numFmtId="0" fontId="0" fillId="7" borderId="12" xfId="0" applyFill="1" applyBorder="1" applyAlignment="1">
      <alignment horizontal="center" vertical="center" wrapText="1"/>
    </xf>
    <xf numFmtId="0" fontId="7" fillId="6" borderId="4" xfId="0" applyFont="1" applyFill="1" applyBorder="1" applyAlignment="1">
      <alignment horizontal="center" vertical="center" wrapText="1" readingOrder="1"/>
    </xf>
    <xf numFmtId="0" fontId="0" fillId="6" borderId="4" xfId="0" applyFill="1" applyBorder="1" applyAlignment="1">
      <alignment horizontal="center" vertical="center"/>
    </xf>
    <xf numFmtId="0" fontId="3" fillId="5" borderId="4" xfId="0" applyFont="1" applyFill="1" applyBorder="1" applyAlignment="1">
      <alignment horizontal="center" vertical="center" wrapText="1"/>
    </xf>
    <xf numFmtId="0" fontId="3" fillId="5" borderId="4" xfId="0" applyFont="1" applyFill="1" applyBorder="1" applyAlignment="1">
      <alignment horizontal="center" vertical="center"/>
    </xf>
    <xf numFmtId="0" fontId="0" fillId="5" borderId="4" xfId="0" applyFill="1" applyBorder="1" applyAlignment="1">
      <alignment horizontal="center" vertical="center"/>
    </xf>
    <xf numFmtId="0" fontId="3" fillId="5" borderId="1" xfId="0" applyFont="1" applyFill="1" applyBorder="1" applyAlignment="1">
      <alignment horizontal="center" vertical="center"/>
    </xf>
    <xf numFmtId="0" fontId="3" fillId="8" borderId="4" xfId="0" applyFont="1" applyFill="1" applyBorder="1" applyAlignment="1">
      <alignment horizontal="center" vertical="center" textRotation="90" wrapText="1"/>
    </xf>
    <xf numFmtId="0" fontId="0" fillId="8" borderId="4" xfId="0" applyFill="1" applyBorder="1" applyAlignment="1">
      <alignment horizontal="center" vertical="center" wrapText="1"/>
    </xf>
    <xf numFmtId="0" fontId="0" fillId="2" borderId="1" xfId="0" applyFill="1" applyBorder="1" applyAlignment="1">
      <alignment horizontal="center" vertical="center" wrapText="1"/>
    </xf>
    <xf numFmtId="0" fontId="0" fillId="7" borderId="1" xfId="0" applyFill="1" applyBorder="1" applyAlignment="1">
      <alignment horizontal="center" vertical="center"/>
    </xf>
    <xf numFmtId="0" fontId="7" fillId="8" borderId="4" xfId="0" applyFont="1" applyFill="1" applyBorder="1" applyAlignment="1">
      <alignment horizontal="center" vertical="center" wrapText="1" readingOrder="1"/>
    </xf>
    <xf numFmtId="0" fontId="0" fillId="7" borderId="4" xfId="0" applyFill="1" applyBorder="1" applyAlignment="1">
      <alignment horizontal="center" vertical="center"/>
    </xf>
    <xf numFmtId="0" fontId="2" fillId="4" borderId="4"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2">
    <cellStyle name="Normal" xfId="0" builtinId="0"/>
    <cellStyle name="Normal 2" xfId="1" xr:uid="{305FED1B-0B10-4C56-8EA6-339ECDDFD6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rry Over" id="{89750C44-2629-4FD2-9260-214677E7E9BB}" userId="S::harry.over@anthesisgroup.com::6aa43cbb-4c42-4f38-a6a3-aba5309c760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7" dT="2025-07-10T07:21:43.36" personId="{89750C44-2629-4FD2-9260-214677E7E9BB}" id="{052D8CC2-E8A6-4167-AC95-A08916081411}">
    <text>Overall comment on this column - is this determined by us knowing that they are looking at the technology or by how relevant we perceive the technology to be to the business model?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7AFE-6143-4566-A9A5-88A0AF96D7B8}">
  <dimension ref="B1:M38"/>
  <sheetViews>
    <sheetView tabSelected="1" topLeftCell="J1" zoomScale="71" workbookViewId="0">
      <selection activeCell="L14" sqref="L14"/>
    </sheetView>
  </sheetViews>
  <sheetFormatPr defaultColWidth="9.81640625" defaultRowHeight="14.5" x14ac:dyDescent="0.35"/>
  <cols>
    <col min="1" max="1" width="15.7265625" style="1" customWidth="1"/>
    <col min="2" max="2" width="17.453125" style="1" customWidth="1"/>
    <col min="3" max="3" width="31.26953125" style="1" customWidth="1"/>
    <col min="4" max="5" width="24.54296875" style="1" customWidth="1"/>
    <col min="6" max="6" width="27.36328125" style="1" customWidth="1"/>
    <col min="7" max="7" width="24.54296875" style="1" customWidth="1"/>
    <col min="8" max="8" width="18.54296875" style="1" customWidth="1"/>
    <col min="9" max="9" width="86.81640625" style="2" customWidth="1"/>
    <col min="10" max="10" width="43" style="1" customWidth="1"/>
    <col min="11" max="12" width="106.6328125" style="1" customWidth="1"/>
    <col min="13" max="13" width="55.7265625" style="1" bestFit="1" customWidth="1"/>
    <col min="14" max="14" width="12.1796875" style="1" customWidth="1"/>
    <col min="15" max="15" width="15.7265625" style="1" customWidth="1"/>
    <col min="16" max="16384" width="9.81640625" style="1"/>
  </cols>
  <sheetData>
    <row r="1" spans="2:13" ht="42.65" customHeight="1" thickBot="1" x14ac:dyDescent="0.4"/>
    <row r="2" spans="2:13" ht="15" thickBot="1" x14ac:dyDescent="0.4">
      <c r="D2" s="3" t="s">
        <v>0</v>
      </c>
      <c r="E2" s="4"/>
      <c r="F2" s="4"/>
      <c r="G2" s="4"/>
      <c r="H2" s="4"/>
      <c r="I2" s="4"/>
      <c r="J2" s="5"/>
      <c r="K2" s="49" t="s">
        <v>1</v>
      </c>
      <c r="L2" s="50" t="s">
        <v>136</v>
      </c>
      <c r="M2" s="50" t="s">
        <v>140</v>
      </c>
    </row>
    <row r="3" spans="2:13" ht="15" thickBot="1" x14ac:dyDescent="0.4">
      <c r="B3" s="6" t="s">
        <v>2</v>
      </c>
      <c r="C3" s="7" t="s">
        <v>3</v>
      </c>
      <c r="D3" s="8" t="s">
        <v>4</v>
      </c>
      <c r="E3" s="8" t="s">
        <v>5</v>
      </c>
      <c r="F3" s="8" t="s">
        <v>6</v>
      </c>
      <c r="G3" s="8" t="s">
        <v>7</v>
      </c>
      <c r="H3" s="8" t="s">
        <v>8</v>
      </c>
      <c r="I3" s="8" t="s">
        <v>9</v>
      </c>
      <c r="J3" s="9" t="s">
        <v>10</v>
      </c>
      <c r="K3" s="10" t="s">
        <v>11</v>
      </c>
      <c r="L3" s="10"/>
      <c r="M3" s="10"/>
    </row>
    <row r="4" spans="2:13" ht="102" thickBot="1" x14ac:dyDescent="0.4">
      <c r="B4" s="11"/>
      <c r="C4" s="12"/>
      <c r="D4" s="13" t="s">
        <v>12</v>
      </c>
      <c r="E4" s="14" t="s">
        <v>13</v>
      </c>
      <c r="F4" s="14" t="s">
        <v>14</v>
      </c>
      <c r="G4" s="15" t="s">
        <v>15</v>
      </c>
      <c r="H4" s="16" t="s">
        <v>16</v>
      </c>
      <c r="I4" s="16" t="s">
        <v>17</v>
      </c>
      <c r="J4" s="16"/>
      <c r="K4" s="17"/>
      <c r="L4" s="18"/>
      <c r="M4" s="18"/>
    </row>
    <row r="5" spans="2:13" ht="42.5" customHeight="1" thickBot="1" x14ac:dyDescent="0.4">
      <c r="B5" s="19"/>
      <c r="C5" s="20"/>
      <c r="D5" s="21" t="s">
        <v>18</v>
      </c>
      <c r="E5" s="22"/>
      <c r="F5" s="22"/>
      <c r="G5" s="23"/>
      <c r="H5" s="24"/>
      <c r="I5" s="24"/>
      <c r="J5" s="24"/>
      <c r="K5" s="25"/>
      <c r="L5" s="26"/>
      <c r="M5" s="26"/>
    </row>
    <row r="6" spans="2:13" ht="87.5" thickBot="1" x14ac:dyDescent="0.4">
      <c r="B6" s="27" t="s">
        <v>19</v>
      </c>
      <c r="C6" s="28" t="s">
        <v>20</v>
      </c>
      <c r="D6" s="29">
        <v>3</v>
      </c>
      <c r="E6" s="29">
        <v>3</v>
      </c>
      <c r="F6" s="29">
        <v>3</v>
      </c>
      <c r="G6" s="29">
        <v>2</v>
      </c>
      <c r="H6" s="30">
        <f>AVERAGE(D6:G6)</f>
        <v>2.75</v>
      </c>
      <c r="I6" s="31" t="s">
        <v>21</v>
      </c>
      <c r="J6" s="31" t="s">
        <v>22</v>
      </c>
      <c r="K6" s="32" t="s">
        <v>23</v>
      </c>
      <c r="L6" s="33"/>
      <c r="M6" s="33"/>
    </row>
    <row r="7" spans="2:13" ht="261.5" thickBot="1" x14ac:dyDescent="0.4">
      <c r="B7" s="27"/>
      <c r="C7" s="28" t="s">
        <v>24</v>
      </c>
      <c r="D7" s="29">
        <v>3</v>
      </c>
      <c r="E7" s="29">
        <v>3</v>
      </c>
      <c r="F7" s="29">
        <v>3</v>
      </c>
      <c r="G7" s="29">
        <v>2</v>
      </c>
      <c r="H7" s="30">
        <f t="shared" ref="H7:H16" si="0">AVERAGE(D7:G7)</f>
        <v>2.75</v>
      </c>
      <c r="I7" s="31" t="s">
        <v>138</v>
      </c>
      <c r="J7" s="31" t="s">
        <v>25</v>
      </c>
      <c r="K7" s="35"/>
      <c r="L7" s="33" t="s">
        <v>139</v>
      </c>
      <c r="M7" s="33"/>
    </row>
    <row r="8" spans="2:13" ht="58.5" thickBot="1" x14ac:dyDescent="0.4">
      <c r="B8" s="27"/>
      <c r="C8" s="28" t="s">
        <v>26</v>
      </c>
      <c r="D8" s="29">
        <v>1</v>
      </c>
      <c r="E8" s="29">
        <v>2</v>
      </c>
      <c r="F8" s="29">
        <v>1</v>
      </c>
      <c r="G8" s="29">
        <v>2</v>
      </c>
      <c r="H8" s="30">
        <f t="shared" si="0"/>
        <v>1.5</v>
      </c>
      <c r="I8" s="31" t="s">
        <v>27</v>
      </c>
      <c r="J8" s="31" t="s">
        <v>28</v>
      </c>
      <c r="K8" s="36"/>
      <c r="L8" s="33"/>
      <c r="M8" s="33"/>
    </row>
    <row r="9" spans="2:13" ht="58.5" thickBot="1" x14ac:dyDescent="0.4">
      <c r="B9" s="27" t="s">
        <v>29</v>
      </c>
      <c r="C9" s="37" t="s">
        <v>30</v>
      </c>
      <c r="D9" s="29">
        <v>3</v>
      </c>
      <c r="E9" s="29">
        <v>3</v>
      </c>
      <c r="F9" s="29">
        <v>2</v>
      </c>
      <c r="G9" s="29">
        <v>3</v>
      </c>
      <c r="H9" s="30">
        <f t="shared" si="0"/>
        <v>2.75</v>
      </c>
      <c r="I9" s="31" t="s">
        <v>31</v>
      </c>
      <c r="J9" s="34" t="s">
        <v>32</v>
      </c>
      <c r="K9" s="33"/>
      <c r="L9" s="33"/>
      <c r="M9" s="33"/>
    </row>
    <row r="10" spans="2:13" ht="73" thickBot="1" x14ac:dyDescent="0.4">
      <c r="B10" s="27"/>
      <c r="C10" s="37" t="s">
        <v>33</v>
      </c>
      <c r="D10" s="29">
        <v>2</v>
      </c>
      <c r="E10" s="29">
        <v>3</v>
      </c>
      <c r="F10" s="29">
        <v>2</v>
      </c>
      <c r="G10" s="29">
        <v>2</v>
      </c>
      <c r="H10" s="30">
        <f t="shared" si="0"/>
        <v>2.25</v>
      </c>
      <c r="I10" s="31" t="s">
        <v>34</v>
      </c>
      <c r="J10" s="31" t="s">
        <v>35</v>
      </c>
      <c r="K10" s="33" t="s">
        <v>36</v>
      </c>
      <c r="L10" s="33" t="s">
        <v>37</v>
      </c>
      <c r="M10" s="33"/>
    </row>
    <row r="11" spans="2:13" ht="116.5" thickBot="1" x14ac:dyDescent="0.4">
      <c r="B11" s="27" t="s">
        <v>38</v>
      </c>
      <c r="C11" s="28" t="s">
        <v>39</v>
      </c>
      <c r="D11" s="29">
        <v>3</v>
      </c>
      <c r="E11" s="29">
        <v>2</v>
      </c>
      <c r="F11" s="29">
        <v>3</v>
      </c>
      <c r="G11" s="29">
        <v>3</v>
      </c>
      <c r="H11" s="30">
        <f t="shared" si="0"/>
        <v>2.75</v>
      </c>
      <c r="I11" s="31" t="s">
        <v>40</v>
      </c>
      <c r="J11" s="31" t="s">
        <v>41</v>
      </c>
      <c r="K11" s="33" t="s">
        <v>42</v>
      </c>
      <c r="L11" s="33" t="s">
        <v>43</v>
      </c>
      <c r="M11" s="33"/>
    </row>
    <row r="12" spans="2:13" ht="58.5" thickBot="1" x14ac:dyDescent="0.4">
      <c r="B12" s="27"/>
      <c r="C12" s="38" t="s">
        <v>44</v>
      </c>
      <c r="D12" s="29">
        <v>4</v>
      </c>
      <c r="E12" s="29">
        <v>4</v>
      </c>
      <c r="F12" s="29">
        <v>2</v>
      </c>
      <c r="G12" s="29">
        <v>2</v>
      </c>
      <c r="H12" s="30">
        <f t="shared" si="0"/>
        <v>3</v>
      </c>
      <c r="I12" s="31" t="s">
        <v>45</v>
      </c>
      <c r="J12" s="31" t="s">
        <v>46</v>
      </c>
      <c r="K12" s="33"/>
      <c r="L12" s="33"/>
      <c r="M12" s="33"/>
    </row>
    <row r="13" spans="2:13" ht="58.5" thickBot="1" x14ac:dyDescent="0.4">
      <c r="B13" s="27"/>
      <c r="C13" s="28" t="s">
        <v>47</v>
      </c>
      <c r="D13" s="29">
        <v>2</v>
      </c>
      <c r="E13" s="29">
        <v>2</v>
      </c>
      <c r="F13" s="29">
        <v>2</v>
      </c>
      <c r="G13" s="29">
        <v>3</v>
      </c>
      <c r="H13" s="30">
        <f t="shared" si="0"/>
        <v>2.25</v>
      </c>
      <c r="I13" s="31" t="s">
        <v>48</v>
      </c>
      <c r="J13" s="31" t="s">
        <v>49</v>
      </c>
      <c r="K13" s="33" t="s">
        <v>50</v>
      </c>
      <c r="L13" s="33"/>
      <c r="M13" s="33"/>
    </row>
    <row r="14" spans="2:13" ht="58.5" thickBot="1" x14ac:dyDescent="0.4">
      <c r="B14" s="27" t="s">
        <v>51</v>
      </c>
      <c r="C14" s="28" t="s">
        <v>52</v>
      </c>
      <c r="D14" s="29">
        <v>3</v>
      </c>
      <c r="E14" s="29">
        <v>2</v>
      </c>
      <c r="F14" s="29">
        <v>3</v>
      </c>
      <c r="G14" s="29">
        <v>3</v>
      </c>
      <c r="H14" s="30">
        <f t="shared" si="0"/>
        <v>2.75</v>
      </c>
      <c r="I14" s="31" t="s">
        <v>53</v>
      </c>
      <c r="J14" s="31" t="s">
        <v>54</v>
      </c>
      <c r="K14" s="33" t="s">
        <v>55</v>
      </c>
      <c r="L14" s="33" t="s">
        <v>56</v>
      </c>
      <c r="M14" s="33"/>
    </row>
    <row r="15" spans="2:13" ht="44" thickBot="1" x14ac:dyDescent="0.4">
      <c r="B15" s="27"/>
      <c r="C15" s="28" t="s">
        <v>57</v>
      </c>
      <c r="D15" s="29">
        <v>3</v>
      </c>
      <c r="E15" s="29">
        <v>3</v>
      </c>
      <c r="F15" s="29">
        <v>3</v>
      </c>
      <c r="G15" s="29">
        <v>2</v>
      </c>
      <c r="H15" s="30">
        <f t="shared" si="0"/>
        <v>2.75</v>
      </c>
      <c r="I15" s="31" t="s">
        <v>58</v>
      </c>
      <c r="J15" s="31" t="s">
        <v>59</v>
      </c>
      <c r="K15" s="33"/>
      <c r="L15" s="33"/>
      <c r="M15" s="33"/>
    </row>
    <row r="16" spans="2:13" ht="44" thickBot="1" x14ac:dyDescent="0.4">
      <c r="B16" s="27"/>
      <c r="C16" s="28" t="s">
        <v>60</v>
      </c>
      <c r="D16" s="29">
        <v>1</v>
      </c>
      <c r="E16" s="29">
        <v>1</v>
      </c>
      <c r="F16" s="29">
        <v>1</v>
      </c>
      <c r="G16" s="29">
        <v>2</v>
      </c>
      <c r="H16" s="30">
        <f t="shared" si="0"/>
        <v>1.25</v>
      </c>
      <c r="I16" s="31" t="s">
        <v>61</v>
      </c>
      <c r="J16" s="31"/>
      <c r="K16" s="33" t="s">
        <v>62</v>
      </c>
      <c r="L16" s="33" t="s">
        <v>63</v>
      </c>
      <c r="M16" s="33"/>
    </row>
    <row r="17" spans="2:13" ht="87.5" thickBot="1" x14ac:dyDescent="0.4">
      <c r="B17" s="39" t="s">
        <v>2</v>
      </c>
      <c r="C17" s="39" t="s">
        <v>3</v>
      </c>
      <c r="D17" s="39" t="s">
        <v>64</v>
      </c>
      <c r="E17" s="39" t="s">
        <v>65</v>
      </c>
      <c r="F17" s="39" t="s">
        <v>66</v>
      </c>
      <c r="G17" s="39" t="s">
        <v>67</v>
      </c>
      <c r="H17" s="40" t="s">
        <v>8</v>
      </c>
      <c r="I17" s="39" t="s">
        <v>68</v>
      </c>
      <c r="J17" s="41"/>
      <c r="K17" s="42"/>
      <c r="L17" s="42"/>
      <c r="M17" s="42"/>
    </row>
    <row r="18" spans="2:13" ht="29.5" thickBot="1" x14ac:dyDescent="0.4">
      <c r="B18" s="43" t="s">
        <v>69</v>
      </c>
      <c r="C18" s="44" t="s">
        <v>70</v>
      </c>
      <c r="D18" s="29">
        <v>4</v>
      </c>
      <c r="E18" s="29">
        <v>2</v>
      </c>
      <c r="F18" s="29">
        <v>3</v>
      </c>
      <c r="G18" s="29">
        <v>2</v>
      </c>
      <c r="H18" s="30">
        <f t="shared" ref="H18:H38" si="1">AVERAGE(D18:G18)</f>
        <v>2.75</v>
      </c>
      <c r="I18" s="31" t="s">
        <v>71</v>
      </c>
      <c r="J18" s="45" t="s">
        <v>72</v>
      </c>
      <c r="K18" s="46"/>
      <c r="L18" s="46"/>
      <c r="M18" s="46"/>
    </row>
    <row r="19" spans="2:13" ht="29.5" thickBot="1" x14ac:dyDescent="0.4">
      <c r="B19" s="43"/>
      <c r="C19" s="44" t="s">
        <v>73</v>
      </c>
      <c r="D19" s="29">
        <v>4</v>
      </c>
      <c r="E19" s="29">
        <v>3</v>
      </c>
      <c r="F19" s="29">
        <v>3</v>
      </c>
      <c r="G19" s="29">
        <v>3</v>
      </c>
      <c r="H19" s="30">
        <f t="shared" si="1"/>
        <v>3.25</v>
      </c>
      <c r="I19" s="31" t="s">
        <v>74</v>
      </c>
      <c r="J19" s="45" t="s">
        <v>75</v>
      </c>
      <c r="K19" s="46"/>
      <c r="L19" s="46"/>
      <c r="M19" s="46"/>
    </row>
    <row r="20" spans="2:13" ht="29.5" thickBot="1" x14ac:dyDescent="0.4">
      <c r="B20" s="43"/>
      <c r="C20" s="44" t="s">
        <v>76</v>
      </c>
      <c r="D20" s="29">
        <v>3</v>
      </c>
      <c r="E20" s="29">
        <v>3</v>
      </c>
      <c r="F20" s="29">
        <v>2</v>
      </c>
      <c r="G20" s="29">
        <v>4</v>
      </c>
      <c r="H20" s="30">
        <f t="shared" si="1"/>
        <v>3</v>
      </c>
      <c r="I20" s="31" t="s">
        <v>77</v>
      </c>
      <c r="J20" s="45" t="s">
        <v>78</v>
      </c>
      <c r="K20" s="46"/>
      <c r="L20" s="46"/>
      <c r="M20" s="46"/>
    </row>
    <row r="21" spans="2:13" ht="29.5" thickBot="1" x14ac:dyDescent="0.4">
      <c r="B21" s="43"/>
      <c r="C21" s="44" t="s">
        <v>79</v>
      </c>
      <c r="D21" s="29">
        <v>3</v>
      </c>
      <c r="E21" s="29">
        <v>2</v>
      </c>
      <c r="F21" s="29">
        <v>2</v>
      </c>
      <c r="G21" s="29">
        <v>2</v>
      </c>
      <c r="H21" s="30">
        <f t="shared" si="1"/>
        <v>2.25</v>
      </c>
      <c r="I21" s="31" t="s">
        <v>80</v>
      </c>
      <c r="J21" s="45" t="s">
        <v>81</v>
      </c>
      <c r="K21" s="46"/>
      <c r="L21" s="46"/>
      <c r="M21" s="46"/>
    </row>
    <row r="22" spans="2:13" ht="29.5" thickBot="1" x14ac:dyDescent="0.4">
      <c r="B22" s="43"/>
      <c r="C22" s="44" t="s">
        <v>82</v>
      </c>
      <c r="D22" s="29">
        <v>4</v>
      </c>
      <c r="E22" s="29">
        <v>2</v>
      </c>
      <c r="F22" s="29">
        <v>3</v>
      </c>
      <c r="G22" s="29">
        <v>2</v>
      </c>
      <c r="H22" s="30">
        <f t="shared" si="1"/>
        <v>2.75</v>
      </c>
      <c r="I22" s="31" t="s">
        <v>83</v>
      </c>
      <c r="J22" s="45" t="s">
        <v>84</v>
      </c>
      <c r="K22" s="46"/>
      <c r="L22" s="46"/>
      <c r="M22" s="46"/>
    </row>
    <row r="23" spans="2:13" ht="29.5" thickBot="1" x14ac:dyDescent="0.4">
      <c r="B23" s="43" t="s">
        <v>85</v>
      </c>
      <c r="C23" s="47" t="s">
        <v>86</v>
      </c>
      <c r="D23" s="29">
        <v>4</v>
      </c>
      <c r="E23" s="29">
        <v>3</v>
      </c>
      <c r="F23" s="29">
        <v>3</v>
      </c>
      <c r="G23" s="29">
        <v>3</v>
      </c>
      <c r="H23" s="30">
        <f t="shared" si="1"/>
        <v>3.25</v>
      </c>
      <c r="I23" s="31" t="s">
        <v>87</v>
      </c>
      <c r="J23" s="45" t="s">
        <v>88</v>
      </c>
      <c r="K23" s="46"/>
      <c r="L23" s="46"/>
      <c r="M23" s="46"/>
    </row>
    <row r="24" spans="2:13" ht="29.5" thickBot="1" x14ac:dyDescent="0.4">
      <c r="B24" s="43"/>
      <c r="C24" s="47" t="s">
        <v>89</v>
      </c>
      <c r="D24" s="29">
        <v>4</v>
      </c>
      <c r="E24" s="29">
        <v>4</v>
      </c>
      <c r="F24" s="29">
        <v>2</v>
      </c>
      <c r="G24" s="29">
        <v>4</v>
      </c>
      <c r="H24" s="30">
        <f t="shared" si="1"/>
        <v>3.5</v>
      </c>
      <c r="I24" s="31" t="s">
        <v>90</v>
      </c>
      <c r="J24" s="45" t="s">
        <v>91</v>
      </c>
      <c r="K24" s="46"/>
      <c r="L24" s="46"/>
      <c r="M24" s="46"/>
    </row>
    <row r="25" spans="2:13" ht="29.5" thickBot="1" x14ac:dyDescent="0.4">
      <c r="B25" s="43"/>
      <c r="C25" s="47" t="s">
        <v>92</v>
      </c>
      <c r="D25" s="29">
        <v>3</v>
      </c>
      <c r="E25" s="29">
        <v>2</v>
      </c>
      <c r="F25" s="29">
        <v>3</v>
      </c>
      <c r="G25" s="29">
        <v>2</v>
      </c>
      <c r="H25" s="30">
        <f t="shared" si="1"/>
        <v>2.5</v>
      </c>
      <c r="I25" s="31" t="s">
        <v>93</v>
      </c>
      <c r="J25" s="45" t="s">
        <v>94</v>
      </c>
      <c r="K25" s="46"/>
      <c r="L25" s="46"/>
      <c r="M25" s="46"/>
    </row>
    <row r="26" spans="2:13" ht="26.5" thickBot="1" x14ac:dyDescent="0.4">
      <c r="B26" s="43"/>
      <c r="C26" s="47" t="s">
        <v>95</v>
      </c>
      <c r="D26" s="29">
        <v>3</v>
      </c>
      <c r="E26" s="29">
        <v>2</v>
      </c>
      <c r="F26" s="29">
        <v>2</v>
      </c>
      <c r="G26" s="29">
        <v>2</v>
      </c>
      <c r="H26" s="30">
        <f t="shared" si="1"/>
        <v>2.25</v>
      </c>
      <c r="I26" s="31" t="s">
        <v>96</v>
      </c>
      <c r="J26" s="45" t="s">
        <v>97</v>
      </c>
      <c r="K26" s="46"/>
      <c r="L26" s="46"/>
      <c r="M26" s="46"/>
    </row>
    <row r="27" spans="2:13" ht="29.5" thickBot="1" x14ac:dyDescent="0.4">
      <c r="B27" s="43" t="s">
        <v>98</v>
      </c>
      <c r="C27" s="44" t="s">
        <v>99</v>
      </c>
      <c r="D27" s="29">
        <v>5</v>
      </c>
      <c r="E27" s="29">
        <v>5</v>
      </c>
      <c r="F27" s="29">
        <v>4</v>
      </c>
      <c r="G27" s="29">
        <v>5</v>
      </c>
      <c r="H27" s="30">
        <f t="shared" si="1"/>
        <v>4.75</v>
      </c>
      <c r="I27" s="31" t="s">
        <v>100</v>
      </c>
      <c r="J27" s="31" t="s">
        <v>101</v>
      </c>
      <c r="K27" s="48"/>
      <c r="L27" s="48"/>
      <c r="M27" s="48"/>
    </row>
    <row r="28" spans="2:13" ht="29.5" thickBot="1" x14ac:dyDescent="0.4">
      <c r="B28" s="43"/>
      <c r="C28" s="44" t="s">
        <v>102</v>
      </c>
      <c r="D28" s="29">
        <v>4</v>
      </c>
      <c r="E28" s="29">
        <v>3</v>
      </c>
      <c r="F28" s="29">
        <v>5</v>
      </c>
      <c r="G28" s="29">
        <v>3</v>
      </c>
      <c r="H28" s="30">
        <f t="shared" si="1"/>
        <v>3.75</v>
      </c>
      <c r="I28" s="31" t="s">
        <v>103</v>
      </c>
      <c r="J28" s="31" t="s">
        <v>104</v>
      </c>
      <c r="K28" s="48"/>
      <c r="L28" s="48"/>
      <c r="M28" s="48"/>
    </row>
    <row r="29" spans="2:13" ht="29.5" thickBot="1" x14ac:dyDescent="0.4">
      <c r="B29" s="43"/>
      <c r="C29" s="44" t="s">
        <v>105</v>
      </c>
      <c r="D29" s="29">
        <v>4</v>
      </c>
      <c r="E29" s="29">
        <v>3</v>
      </c>
      <c r="F29" s="29">
        <v>4</v>
      </c>
      <c r="G29" s="29">
        <v>3</v>
      </c>
      <c r="H29" s="30">
        <f t="shared" si="1"/>
        <v>3.5</v>
      </c>
      <c r="I29" s="31" t="s">
        <v>106</v>
      </c>
      <c r="J29" s="31" t="s">
        <v>107</v>
      </c>
      <c r="K29" s="48"/>
      <c r="L29" s="48"/>
      <c r="M29" s="48"/>
    </row>
    <row r="30" spans="2:13" ht="29.5" thickBot="1" x14ac:dyDescent="0.4">
      <c r="B30" s="43"/>
      <c r="C30" s="44" t="s">
        <v>108</v>
      </c>
      <c r="D30" s="29">
        <v>3</v>
      </c>
      <c r="E30" s="29">
        <v>2</v>
      </c>
      <c r="F30" s="29">
        <v>3</v>
      </c>
      <c r="G30" s="29">
        <v>3</v>
      </c>
      <c r="H30" s="30">
        <f t="shared" si="1"/>
        <v>2.75</v>
      </c>
      <c r="I30" s="31" t="s">
        <v>109</v>
      </c>
      <c r="J30" s="45" t="s">
        <v>110</v>
      </c>
      <c r="K30" s="46"/>
      <c r="L30" s="46"/>
      <c r="M30" s="46"/>
    </row>
    <row r="31" spans="2:13" ht="29.5" thickBot="1" x14ac:dyDescent="0.4">
      <c r="B31" s="43"/>
      <c r="C31" s="44" t="s">
        <v>111</v>
      </c>
      <c r="D31" s="29">
        <v>4</v>
      </c>
      <c r="E31" s="29">
        <v>3</v>
      </c>
      <c r="F31" s="29">
        <v>4</v>
      </c>
      <c r="G31" s="29">
        <v>3</v>
      </c>
      <c r="H31" s="30">
        <f t="shared" si="1"/>
        <v>3.5</v>
      </c>
      <c r="I31" s="31" t="s">
        <v>112</v>
      </c>
      <c r="J31" s="45" t="s">
        <v>113</v>
      </c>
      <c r="K31" s="46"/>
      <c r="L31" s="46"/>
      <c r="M31" s="46"/>
    </row>
    <row r="32" spans="2:13" ht="29.5" thickBot="1" x14ac:dyDescent="0.4">
      <c r="B32" s="43" t="s">
        <v>114</v>
      </c>
      <c r="C32" s="44" t="s">
        <v>115</v>
      </c>
      <c r="D32" s="29">
        <v>4</v>
      </c>
      <c r="E32" s="29">
        <v>4</v>
      </c>
      <c r="F32" s="29">
        <v>4</v>
      </c>
      <c r="G32" s="29">
        <v>4</v>
      </c>
      <c r="H32" s="30">
        <f t="shared" si="1"/>
        <v>4</v>
      </c>
      <c r="I32" s="31" t="s">
        <v>116</v>
      </c>
      <c r="J32" s="45" t="s">
        <v>117</v>
      </c>
      <c r="K32" s="46"/>
      <c r="L32" s="46"/>
      <c r="M32" s="46"/>
    </row>
    <row r="33" spans="2:13" ht="29.5" thickBot="1" x14ac:dyDescent="0.4">
      <c r="B33" s="43"/>
      <c r="C33" s="44" t="s">
        <v>118</v>
      </c>
      <c r="D33" s="29">
        <v>3</v>
      </c>
      <c r="E33" s="29">
        <v>3</v>
      </c>
      <c r="F33" s="29">
        <v>3</v>
      </c>
      <c r="G33" s="29">
        <v>3</v>
      </c>
      <c r="H33" s="30">
        <f t="shared" si="1"/>
        <v>3</v>
      </c>
      <c r="I33" s="31" t="s">
        <v>119</v>
      </c>
      <c r="J33" s="45" t="s">
        <v>120</v>
      </c>
      <c r="K33" s="46"/>
      <c r="L33" s="46"/>
      <c r="M33" s="46"/>
    </row>
    <row r="34" spans="2:13" ht="29.5" thickBot="1" x14ac:dyDescent="0.4">
      <c r="B34" s="43"/>
      <c r="C34" s="44" t="s">
        <v>121</v>
      </c>
      <c r="D34" s="29">
        <v>4</v>
      </c>
      <c r="E34" s="29">
        <v>3</v>
      </c>
      <c r="F34" s="29">
        <v>4</v>
      </c>
      <c r="G34" s="29">
        <v>3</v>
      </c>
      <c r="H34" s="30">
        <f t="shared" si="1"/>
        <v>3.5</v>
      </c>
      <c r="I34" s="31" t="s">
        <v>122</v>
      </c>
      <c r="J34" s="45" t="s">
        <v>123</v>
      </c>
      <c r="K34" s="46"/>
      <c r="L34" s="46"/>
      <c r="M34" s="46"/>
    </row>
    <row r="35" spans="2:13" ht="29.5" thickBot="1" x14ac:dyDescent="0.4">
      <c r="B35" s="43" t="s">
        <v>124</v>
      </c>
      <c r="C35" s="44" t="s">
        <v>125</v>
      </c>
      <c r="D35" s="29">
        <v>3</v>
      </c>
      <c r="E35" s="29">
        <v>3</v>
      </c>
      <c r="F35" s="29">
        <v>3</v>
      </c>
      <c r="G35" s="29">
        <v>3</v>
      </c>
      <c r="H35" s="30">
        <f t="shared" si="1"/>
        <v>3</v>
      </c>
      <c r="I35" s="31" t="s">
        <v>126</v>
      </c>
      <c r="J35" s="45" t="s">
        <v>127</v>
      </c>
      <c r="K35" s="46"/>
      <c r="L35" s="46"/>
      <c r="M35" s="46"/>
    </row>
    <row r="36" spans="2:13" ht="29.5" thickBot="1" x14ac:dyDescent="0.4">
      <c r="B36" s="43"/>
      <c r="C36" s="44" t="s">
        <v>128</v>
      </c>
      <c r="D36" s="29">
        <v>3</v>
      </c>
      <c r="E36" s="29">
        <v>3</v>
      </c>
      <c r="F36" s="29">
        <v>3</v>
      </c>
      <c r="G36" s="29">
        <v>3</v>
      </c>
      <c r="H36" s="30">
        <f t="shared" si="1"/>
        <v>3</v>
      </c>
      <c r="I36" s="31" t="s">
        <v>129</v>
      </c>
      <c r="J36" s="45" t="s">
        <v>130</v>
      </c>
      <c r="K36" s="46"/>
      <c r="L36" s="46"/>
      <c r="M36" s="46"/>
    </row>
    <row r="37" spans="2:13" ht="29.5" thickBot="1" x14ac:dyDescent="0.4">
      <c r="B37" s="43"/>
      <c r="C37" s="44" t="s">
        <v>131</v>
      </c>
      <c r="D37" s="29">
        <v>4</v>
      </c>
      <c r="E37" s="29">
        <v>3</v>
      </c>
      <c r="F37" s="29">
        <v>4</v>
      </c>
      <c r="G37" s="29">
        <v>3</v>
      </c>
      <c r="H37" s="30">
        <f t="shared" si="1"/>
        <v>3.5</v>
      </c>
      <c r="I37" s="31" t="s">
        <v>132</v>
      </c>
      <c r="J37" s="45" t="s">
        <v>133</v>
      </c>
      <c r="K37" s="46"/>
      <c r="L37" s="46"/>
      <c r="M37" s="46"/>
    </row>
    <row r="38" spans="2:13" ht="29.5" thickBot="1" x14ac:dyDescent="0.4">
      <c r="B38" s="43"/>
      <c r="C38" s="44" t="s">
        <v>134</v>
      </c>
      <c r="D38" s="29">
        <v>2</v>
      </c>
      <c r="E38" s="29">
        <v>2</v>
      </c>
      <c r="F38" s="29">
        <v>2</v>
      </c>
      <c r="G38" s="29">
        <v>2</v>
      </c>
      <c r="H38" s="30">
        <f t="shared" si="1"/>
        <v>2</v>
      </c>
      <c r="I38" s="31" t="s">
        <v>135</v>
      </c>
      <c r="J38" s="45" t="s">
        <v>137</v>
      </c>
      <c r="K38" s="46"/>
      <c r="L38" s="46"/>
      <c r="M38" s="46"/>
    </row>
  </sheetData>
  <mergeCells count="18">
    <mergeCell ref="B18:B22"/>
    <mergeCell ref="B23:B26"/>
    <mergeCell ref="B27:B31"/>
    <mergeCell ref="B32:B34"/>
    <mergeCell ref="B35:B38"/>
    <mergeCell ref="D5:G5"/>
    <mergeCell ref="B6:B8"/>
    <mergeCell ref="K6:K8"/>
    <mergeCell ref="B9:B10"/>
    <mergeCell ref="B11:B13"/>
    <mergeCell ref="B14:B16"/>
    <mergeCell ref="D2:J2"/>
    <mergeCell ref="B3:B5"/>
    <mergeCell ref="C3:C5"/>
    <mergeCell ref="H4:H5"/>
    <mergeCell ref="I4:I5"/>
    <mergeCell ref="J4:J5"/>
    <mergeCell ref="K4:K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 Scores and Narratives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Feldmann</dc:creator>
  <cp:lastModifiedBy>John Feldmann</cp:lastModifiedBy>
  <dcterms:created xsi:type="dcterms:W3CDTF">2025-08-05T19:25:44Z</dcterms:created>
  <dcterms:modified xsi:type="dcterms:W3CDTF">2025-08-07T15:41:40Z</dcterms:modified>
</cp:coreProperties>
</file>